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пущения" sheetId="1" state="visible" r:id="rId1"/>
    <sheet xmlns:r="http://schemas.openxmlformats.org/officeDocument/2006/relationships" name="Прогноз P&amp;L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Чувствительность" sheetId="4" state="visible" r:id="rId4"/>
    <sheet xmlns:r="http://schemas.openxmlformats.org/officeDocument/2006/relationships" name="Реестр объектов" sheetId="5" state="visible" r:id="rId5"/>
    <sheet xmlns:r="http://schemas.openxmlformats.org/officeDocument/2006/relationships" name="Графики" sheetId="6" state="visible" r:id="rId6"/>
  </sheets>
  <definedNames>
    <definedName name="Сценарий_индекс">Допущения!$C$4</definedName>
    <definedName name="Выручка_база">Допущения!$B$7</definedName>
    <definedName name="Темп_роста">Допущения!$B$11</definedName>
    <definedName name="Маржа_2026">Допущения!$B$13</definedName>
    <definedName name="Маржа_прирост">Допущения!$B$14</definedName>
    <definedName name="Опер_расходы_доля">Допущения!$B$15</definedName>
    <definedName name="Налог">Допущения!$B$16</definedName>
    <definedName name="Капзатраты_2026">Допущения!$B$18</definedName>
    <definedName name="Капзатраты_спад">Допущения!$B$19</definedName>
    <definedName name="Срок_аморт">Допущения!$B$20</definedName>
    <definedName name="ОК_доля">Допущения!$B$21</definedName>
    <definedName name="WACC">Допущения!$B$27</definedName>
    <definedName name="_xlnm._FilterDatabase" localSheetId="4" hidden="1">'Реестр объектов'!$A$4:$G$14</definedName>
    <definedName name="_xlnm.Print_Titles" localSheetId="4">'Реестр объектов'!$4:$4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"/>
    <numFmt numFmtId="165" formatCode="0.0%;[Red]-0.0%"/>
    <numFmt numFmtId="166" formatCode="0.000"/>
    <numFmt numFmtId="167" formatCode="0 %"/>
  </numFmts>
  <fonts count="12">
    <font>
      <name val="Calibri"/>
      <family val="2"/>
      <color theme="1"/>
      <sz val="11"/>
      <scheme val="minor"/>
    </font>
    <font>
      <name val="Inter"/>
      <b val="1"/>
      <color rgb="00FFFFFF"/>
      <sz val="10"/>
    </font>
    <font>
      <name val="Inter"/>
      <b val="1"/>
      <color rgb="001E2761"/>
      <sz val="10"/>
    </font>
    <font>
      <name val="Inter"/>
      <b val="1"/>
      <color rgb="001E2761"/>
      <sz val="14"/>
    </font>
    <font>
      <name val="Inter"/>
      <i val="1"/>
      <color rgb="00667085"/>
      <sz val="9"/>
    </font>
    <font>
      <name val="Inter"/>
      <color rgb="000000CC"/>
      <sz val="10"/>
    </font>
    <font>
      <name val="Inter"/>
      <color rgb="00667085"/>
      <sz val="10"/>
    </font>
    <font>
      <name val="Inter"/>
      <color rgb="001F2933"/>
      <sz val="10"/>
    </font>
    <font>
      <name val="Inter"/>
      <color rgb="004A6FA5"/>
      <sz val="10"/>
    </font>
    <font>
      <name val="Inter"/>
      <b val="1"/>
      <color rgb="004A6FA5"/>
      <sz val="10"/>
    </font>
    <font>
      <name val="Inter"/>
      <b val="1"/>
      <color rgb="002E7D5B"/>
      <sz val="10"/>
    </font>
    <font>
      <name val="Inter"/>
      <color rgb="00667085"/>
      <sz val="9"/>
    </font>
  </fonts>
  <fills count="7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E8EDF5"/>
      </patternFill>
    </fill>
    <fill>
      <patternFill patternType="solid">
        <fgColor rgb="00FFF8E1"/>
      </patternFill>
    </fill>
    <fill>
      <patternFill patternType="solid">
        <fgColor rgb="00F4F6FA"/>
      </patternFill>
    </fill>
    <fill>
      <patternFill patternType="solid">
        <fgColor rgb="004A6FA5"/>
      </patternFill>
    </fill>
  </fills>
  <borders count="6">
    <border>
      <left/>
      <right/>
      <top/>
      <bottom/>
      <diagonal/>
    </border>
    <border>
      <left style="thin">
        <color rgb="00D5D9E0"/>
      </left>
      <right style="thin">
        <color rgb="00D5D9E0"/>
      </right>
      <top style="thin">
        <color rgb="00D5D9E0"/>
      </top>
      <bottom style="thin">
        <color rgb="00D5D9E0"/>
      </bottom>
    </border>
    <border>
      <left/>
      <right/>
      <top style="thin">
        <color rgb="00D5D9E0"/>
      </top>
      <bottom/>
      <diagonal/>
    </border>
    <border>
      <left/>
      <right style="thin">
        <color rgb="00D5D9E0"/>
      </right>
      <top style="thin">
        <color rgb="00D5D9E0"/>
      </top>
      <bottom/>
      <diagonal/>
    </border>
    <border>
      <left/>
      <right/>
      <top style="thin">
        <color rgb="00D5D9E0"/>
      </top>
      <bottom style="thin">
        <color rgb="00D5D9E0"/>
      </bottom>
      <diagonal/>
    </border>
    <border>
      <left/>
      <right style="thin">
        <color rgb="00D5D9E0"/>
      </right>
      <top style="thin">
        <color rgb="00D5D9E0"/>
      </top>
      <bottom style="thin">
        <color rgb="00D5D9E0"/>
      </bottom>
      <diagonal/>
    </border>
  </borders>
  <cellStyleXfs count="3">
    <xf numFmtId="0" fontId="0" fillId="0" borderId="0"/>
    <xf numFmtId="0" fontId="1" fillId="2" borderId="1" applyAlignment="1">
      <alignment horizontal="center" vertical="center" wrapText="1"/>
    </xf>
    <xf numFmtId="0" fontId="2" fillId="3" borderId="1"/>
  </cellStyleXfs>
  <cellXfs count="3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4" borderId="1" applyAlignment="1" pivotButton="0" quotePrefix="0" xfId="0">
      <alignment horizontal="center"/>
    </xf>
    <xf numFmtId="1" fontId="6" fillId="0" borderId="0" pivotButton="0" quotePrefix="0" xfId="0"/>
    <xf numFmtId="0" fontId="2" fillId="3" borderId="1" pivotButton="0" quotePrefix="0" xfId="2"/>
    <xf numFmtId="0" fontId="0" fillId="0" borderId="4" pivotButton="0" quotePrefix="0" xfId="0"/>
    <xf numFmtId="0" fontId="0" fillId="0" borderId="5" pivotButton="0" quotePrefix="0" xfId="0"/>
    <xf numFmtId="0" fontId="7" fillId="0" borderId="1" pivotButton="0" quotePrefix="0" xfId="0"/>
    <xf numFmtId="16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" fontId="5" fillId="4" borderId="1" applyAlignment="1" pivotButton="0" quotePrefix="0" xfId="0">
      <alignment horizontal="right"/>
    </xf>
    <xf numFmtId="0" fontId="1" fillId="2" borderId="1" applyAlignment="1" pivotButton="0" quotePrefix="0" xfId="1">
      <alignment horizontal="center" vertical="center" wrapText="1"/>
    </xf>
    <xf numFmtId="164" fontId="7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0" fontId="2" fillId="3" borderId="1" pivotButton="0" quotePrefix="0" xfId="0"/>
    <xf numFmtId="164" fontId="2" fillId="3" borderId="1" applyAlignment="1" pivotButton="0" quotePrefix="0" xfId="0">
      <alignment horizontal="right"/>
    </xf>
    <xf numFmtId="165" fontId="9" fillId="0" borderId="1" applyAlignment="1" pivotButton="0" quotePrefix="0" xfId="0">
      <alignment horizontal="right"/>
    </xf>
    <xf numFmtId="0" fontId="10" fillId="0" borderId="0" applyAlignment="1" pivotButton="0" quotePrefix="0" xfId="0">
      <alignment horizontal="center"/>
    </xf>
    <xf numFmtId="166" fontId="7" fillId="0" borderId="1" applyAlignment="1" pivotButton="0" quotePrefix="0" xfId="0">
      <alignment horizontal="right"/>
    </xf>
    <xf numFmtId="164" fontId="11" fillId="0" borderId="0" applyAlignment="1" pivotButton="0" quotePrefix="0" xfId="0">
      <alignment horizontal="right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165" fontId="1" fillId="2" borderId="1" applyAlignment="1" pivotButton="0" quotePrefix="0" xfId="1">
      <alignment horizontal="center" vertical="center" wrapText="1"/>
    </xf>
    <xf numFmtId="165" fontId="2" fillId="3" borderId="1" applyAlignment="1" pivotButton="0" quotePrefix="0" xfId="2">
      <alignment horizontal="center"/>
    </xf>
    <xf numFmtId="167" fontId="7" fillId="0" borderId="1" applyAlignment="1" pivotButton="0" quotePrefix="0" xfId="0">
      <alignment horizontal="center"/>
    </xf>
    <xf numFmtId="0" fontId="7" fillId="5" borderId="1" pivotButton="0" quotePrefix="0" xfId="0"/>
    <xf numFmtId="164" fontId="7" fillId="5" borderId="1" applyAlignment="1" pivotButton="0" quotePrefix="0" xfId="0">
      <alignment horizontal="right"/>
    </xf>
    <xf numFmtId="167" fontId="7" fillId="5" borderId="1" applyAlignment="1" pivotButton="0" quotePrefix="0" xfId="0">
      <alignment horizontal="center"/>
    </xf>
    <xf numFmtId="0" fontId="1" fillId="6" borderId="1" pivotButton="0" quotePrefix="0" xfId="0"/>
    <xf numFmtId="164" fontId="1" fillId="6" borderId="1" applyAlignment="1" pivotButton="0" quotePrefix="0" xfId="0">
      <alignment horizontal="right"/>
    </xf>
    <xf numFmtId="167" fontId="1" fillId="6" borderId="1" applyAlignment="1" pivotButton="0" quotePrefix="0" xfId="0">
      <alignment horizontal="right"/>
    </xf>
  </cellXfs>
  <cellStyles count="3">
    <cellStyle name="Normal" xfId="0" builtinId="0" hidden="0"/>
    <cellStyle name="hdr" xfId="1" hidden="0"/>
    <cellStyle name="sub" xfId="2" hidden="0"/>
  </cellStyles>
  <dxfs count="1">
    <dxf>
      <font>
        <name val="Inter"/>
        <b val="1"/>
        <color rgb="00B85042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Выручка и рентабельность EBITDA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'Прогноз P&amp;L'!A5</f>
            </strRef>
          </tx>
          <spPr>
            <a:ln xmlns:a="http://schemas.openxmlformats.org/drawingml/2006/main">
              <a:prstDash val="solid"/>
            </a:ln>
          </spPr>
          <cat>
            <numRef>
              <f>'Прогноз P&amp;L'!$B$4:$F$4</f>
            </numRef>
          </cat>
          <val>
            <numRef>
              <f>'Прогноз P&amp;L'!$B$5:$F$5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'Прогноз P&amp;L'!A10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'Прогноз P&amp;L'!$B$10:$F$10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Год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Выручка, млн ₽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Рентабельность EBITDA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Дисконтированный денежный поток по годам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'DCF'!A11</f>
            </strRef>
          </tx>
          <spPr>
            <a:ln xmlns:a="http://schemas.openxmlformats.org/drawingml/2006/main">
              <a:prstDash val="solid"/>
            </a:ln>
          </spPr>
          <cat>
            <numRef>
              <f>'DCF'!$B$4:$F$4</f>
            </numRef>
          </cat>
          <val>
            <numRef>
              <f>'DCF'!$B$11:$F$11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млн ₽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Финансовая модель</author>
  </authors>
  <commentList>
    <comment ref="B4" authorId="0" shapeId="0">
      <text>
        <t>Переключатель сценария.
Влияет на темп роста, маржу и капзатраты через функцию CHOOSE на листах прогноза.</t>
      </text>
    </comment>
  </commentList>
</comments>
</file>

<file path=xl/comments/comment2.xml><?xml version="1.0" encoding="utf-8"?>
<comments xmlns="http://schemas.openxmlformats.org/spreadsheetml/2006/main">
  <authors>
    <author>Финансовая модель</author>
  </authors>
  <commentList>
    <comment ref="B19" authorId="0" shapeId="0">
      <text>
        <t>Консервативная оценка: только пять прогнозных лет, без терминальной стоимости. Строка ниже добавляет её по модели Гордона.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68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23</row>
      <rowOff>0</rowOff>
    </from>
    <ext cx="68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6" customWidth="1" min="3" max="3"/>
    <col width="20" customWidth="1" min="4" max="4"/>
  </cols>
  <sheetData>
    <row r="1" ht="22" customHeight="1">
      <c r="A1" s="1" t="inlineStr">
        <is>
          <t>Допущения модели</t>
        </is>
      </c>
    </row>
    <row r="2">
      <c r="A2" s="2" t="inlineStr">
        <is>
          <t>Синим — вводимые значения. Меняйте только их.</t>
        </is>
      </c>
    </row>
    <row r="4">
      <c r="A4" s="3" t="inlineStr">
        <is>
          <t>Сценарий</t>
        </is>
      </c>
      <c r="B4" s="4" t="inlineStr">
        <is>
          <t>База</t>
        </is>
      </c>
      <c r="C4" s="5">
        <f>MATCH(B4,{"Пессимистичный";"База";"Оптимистичный"},0)</f>
        <v>2</v>
      </c>
      <c r="D4" s="2" t="inlineStr">
        <is>
          <t>← индекс сценария</t>
        </is>
      </c>
    </row>
    <row r="6">
      <c r="A6" s="6" t="inlineStr">
        <is>
          <t>Драйверы роста</t>
        </is>
      </c>
      <c r="B6" s="7" t="n"/>
      <c r="C6" s="8" t="n"/>
    </row>
    <row r="7">
      <c r="A7" s="9" t="inlineStr">
        <is>
          <t>Базовая выручка 2025, млн ₽</t>
        </is>
      </c>
      <c r="B7" s="10" t="n">
        <v>4558</v>
      </c>
    </row>
    <row r="8">
      <c r="A8" s="9" t="inlineStr">
        <is>
          <t>Темп роста — пессимистичный</t>
        </is>
      </c>
      <c r="B8" s="11" t="n">
        <v>0.08</v>
      </c>
    </row>
    <row r="9">
      <c r="A9" s="9" t="inlineStr">
        <is>
          <t>Темп роста — базовый</t>
        </is>
      </c>
      <c r="B9" s="11" t="n">
        <v>0.165</v>
      </c>
    </row>
    <row r="10">
      <c r="A10" s="9" t="inlineStr">
        <is>
          <t>Темп роста — оптимистичный</t>
        </is>
      </c>
      <c r="B10" s="11" t="n">
        <v>0.24</v>
      </c>
    </row>
    <row r="11">
      <c r="A11" s="9" t="inlineStr">
        <is>
          <t>Активный темп роста</t>
        </is>
      </c>
      <c r="B11" s="12">
        <f>CHOOSE($C$4,$B$8,$B$9,$B$10)</f>
        <v>0.165</v>
      </c>
      <c r="C11" s="2" t="inlineStr">
        <is>
          <t>Выбирается сценарием</t>
        </is>
      </c>
    </row>
    <row r="12">
      <c r="A12" s="6" t="inlineStr">
        <is>
          <t>Экономика</t>
        </is>
      </c>
      <c r="B12" s="7" t="n"/>
      <c r="C12" s="8" t="n"/>
    </row>
    <row r="13">
      <c r="A13" s="9" t="inlineStr">
        <is>
          <t>Валовая маржа 2026</t>
        </is>
      </c>
      <c r="B13" s="11" t="n">
        <v>0.412</v>
      </c>
    </row>
    <row r="14">
      <c r="A14" s="9" t="inlineStr">
        <is>
          <t>Годовое улучшение маржи, п.п.</t>
        </is>
      </c>
      <c r="B14" s="11" t="n">
        <v>0.006</v>
      </c>
    </row>
    <row r="15">
      <c r="A15" s="9" t="inlineStr">
        <is>
          <t>Опер. расходы, % выручки</t>
        </is>
      </c>
      <c r="B15" s="11" t="n">
        <v>0.192</v>
      </c>
    </row>
    <row r="16">
      <c r="A16" s="9" t="inlineStr">
        <is>
          <t>Ставка налога на прибыль</t>
        </is>
      </c>
      <c r="B16" s="11" t="n">
        <v>0.2</v>
      </c>
    </row>
    <row r="17">
      <c r="A17" s="6" t="inlineStr">
        <is>
          <t>Капитал</t>
        </is>
      </c>
      <c r="B17" s="7" t="n"/>
      <c r="C17" s="8" t="n"/>
    </row>
    <row r="18">
      <c r="A18" s="9" t="inlineStr">
        <is>
          <t>Капзатраты 2026, млн ₽</t>
        </is>
      </c>
      <c r="B18" s="10" t="n">
        <v>980</v>
      </c>
    </row>
    <row r="19">
      <c r="A19" s="9" t="inlineStr">
        <is>
          <t>Снижение капзатрат в год</t>
        </is>
      </c>
      <c r="B19" s="11" t="n">
        <v>0.06</v>
      </c>
    </row>
    <row r="20">
      <c r="A20" s="9" t="inlineStr">
        <is>
          <t>Срок амортизации, лет</t>
        </is>
      </c>
      <c r="B20" s="13" t="n">
        <v>8</v>
      </c>
    </row>
    <row r="21">
      <c r="A21" s="9" t="inlineStr">
        <is>
          <t>Оборотный капитал, % выручки</t>
        </is>
      </c>
      <c r="B21" s="11" t="n">
        <v>0.08400000000000001</v>
      </c>
    </row>
    <row r="22">
      <c r="A22" s="6" t="inlineStr">
        <is>
          <t>Стоимость капитала</t>
        </is>
      </c>
      <c r="B22" s="7" t="n"/>
      <c r="C22" s="8" t="n"/>
    </row>
    <row r="23">
      <c r="A23" s="9" t="inlineStr">
        <is>
          <t>Безрисковая ставка</t>
        </is>
      </c>
      <c r="B23" s="11" t="n">
        <v>0.082</v>
      </c>
    </row>
    <row r="24">
      <c r="A24" s="9" t="inlineStr">
        <is>
          <t>Премия за риск</t>
        </is>
      </c>
      <c r="B24" s="11" t="n">
        <v>0.055</v>
      </c>
    </row>
    <row r="25">
      <c r="A25" s="9" t="inlineStr">
        <is>
          <t>Стоимость долга</t>
        </is>
      </c>
      <c r="B25" s="11" t="n">
        <v>0.115</v>
      </c>
    </row>
    <row r="26">
      <c r="A26" s="9" t="inlineStr">
        <is>
          <t>Доля долга в капитале</t>
        </is>
      </c>
      <c r="B26" s="11" t="n">
        <v>0.35</v>
      </c>
    </row>
    <row r="27">
      <c r="A27" s="9" t="inlineStr">
        <is>
          <t>WACC</t>
        </is>
      </c>
      <c r="B27" s="12">
        <f>(1-$B$26)*($B$23+$B$24)+$B$26*$B$25*(1-$B$16)</f>
        <v>0.12125</v>
      </c>
      <c r="C27" s="2" t="inlineStr">
        <is>
          <t>С учётом налогового щита</t>
        </is>
      </c>
    </row>
  </sheetData>
  <mergeCells count="4">
    <mergeCell ref="A12:C12"/>
    <mergeCell ref="A22:C22"/>
    <mergeCell ref="A6:C6"/>
    <mergeCell ref="A17:C17"/>
  </mergeCells>
  <dataValidations count="1">
    <dataValidation sqref="B4" showDropDown="0" showInputMessage="0" showErrorMessage="0" allowBlank="0" errorTitle="Недопустимое значение" error="Допустимы только три значения из списка" promptTitle="Сценарий" prompt="Выберите сценарий: пересчитываются все листы" type="list">
      <formula1>"Пессимистичный,База,Оптимистичный"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2" customHeight="1">
      <c r="A1" s="1" t="inlineStr">
        <is>
          <t>Прогноз отчёта о прибылях и убытках</t>
        </is>
      </c>
    </row>
    <row r="2">
      <c r="A2" s="2" t="inlineStr">
        <is>
          <t>млн ₽, если не указано иное</t>
        </is>
      </c>
    </row>
    <row r="4">
      <c r="A4" s="14" t="inlineStr">
        <is>
          <t>Показатель</t>
        </is>
      </c>
      <c r="B4" s="14" t="n">
        <v>2026</v>
      </c>
      <c r="C4" s="14" t="n">
        <v>2027</v>
      </c>
      <c r="D4" s="14" t="n">
        <v>2028</v>
      </c>
      <c r="E4" s="14" t="n">
        <v>2029</v>
      </c>
      <c r="F4" s="14" t="n">
        <v>2030</v>
      </c>
      <c r="G4" s="14" t="inlineStr">
        <is>
          <t>CAGR</t>
        </is>
      </c>
    </row>
    <row r="5">
      <c r="A5" s="9" t="inlineStr">
        <is>
          <t>Выручка</t>
        </is>
      </c>
      <c r="B5" s="15">
        <f>Выручка_база*(1+Темп_роста)</f>
        <v>5310.07</v>
      </c>
      <c r="C5" s="15">
        <f>B5*(1+Темп_роста)</f>
        <v>6186.2315499999995</v>
      </c>
      <c r="D5" s="15">
        <f>C5*(1+Темп_роста)</f>
        <v>7206.959755749999</v>
      </c>
      <c r="E5" s="15">
        <f>D5*(1+Темп_роста)</f>
        <v>8396.10811544875</v>
      </c>
      <c r="F5" s="15">
        <f>E5*(1+Темп_роста)</f>
        <v>9781.465954497793</v>
      </c>
      <c r="G5" s="16">
        <f>IFERROR((F5/B5)^(1/4)-1,"")</f>
        <v>0.16500000000000004</v>
      </c>
    </row>
    <row r="6">
      <c r="A6" s="9" t="inlineStr">
        <is>
          <t>Валовая маржа, %</t>
        </is>
      </c>
      <c r="B6" s="17">
        <f>Маржа_2026+Маржа_прирост*0</f>
        <v>0.412</v>
      </c>
      <c r="C6" s="17">
        <f>Маржа_2026+Маржа_прирост*1</f>
        <v>0.418</v>
      </c>
      <c r="D6" s="17">
        <f>Маржа_2026+Маржа_прирост*2</f>
        <v>0.424</v>
      </c>
      <c r="E6" s="17">
        <f>Маржа_2026+Маржа_прирост*3</f>
        <v>0.43</v>
      </c>
      <c r="F6" s="17">
        <f>Маржа_2026+Маржа_прирост*4</f>
        <v>0.436</v>
      </c>
    </row>
    <row r="7">
      <c r="A7" s="9" t="inlineStr">
        <is>
          <t>Валовая прибыль</t>
        </is>
      </c>
      <c r="B7" s="15">
        <f>B5*B6</f>
        <v>2187.7488399999997</v>
      </c>
      <c r="C7" s="15">
        <f>C5*C6</f>
        <v>2585.8447878999996</v>
      </c>
      <c r="D7" s="15">
        <f>D5*D6</f>
        <v>3055.7509364379994</v>
      </c>
      <c r="E7" s="15">
        <f>E5*E6</f>
        <v>3610.3264896429623</v>
      </c>
      <c r="F7" s="15">
        <f>F5*F6</f>
        <v>4264.719156161038</v>
      </c>
      <c r="G7" s="16">
        <f>IFERROR((F7/B7)^(1/4)-1,"")</f>
        <v>0.18160751297049615</v>
      </c>
    </row>
    <row r="8">
      <c r="A8" s="9" t="inlineStr">
        <is>
          <t>Операционные расходы</t>
        </is>
      </c>
      <c r="B8" s="15">
        <f>-B5*Опер_расходы_доля</f>
        <v>-1019.5334399999999</v>
      </c>
      <c r="C8" s="15">
        <f>-C5*Опер_расходы_доля</f>
        <v>-1187.7564576</v>
      </c>
      <c r="D8" s="15">
        <f>-D5*Опер_расходы_доля</f>
        <v>-1383.7362731039998</v>
      </c>
      <c r="E8" s="15">
        <f>-E5*Опер_расходы_доля</f>
        <v>-1612.05275816616</v>
      </c>
      <c r="F8" s="15">
        <f>-F5*Опер_расходы_доля</f>
        <v>-1878.0414632635764</v>
      </c>
      <c r="G8" s="16">
        <f>IFERROR((F8/B8)^(1/4)-1,"")</f>
        <v>0.16500000000000004</v>
      </c>
    </row>
    <row r="9">
      <c r="A9" s="18" t="inlineStr">
        <is>
          <t>EBITDA</t>
        </is>
      </c>
      <c r="B9" s="19">
        <f>B7+B8</f>
        <v>1168.2153999999998</v>
      </c>
      <c r="C9" s="19">
        <f>C7+C8</f>
        <v>1398.0883302999996</v>
      </c>
      <c r="D9" s="19">
        <f>D7+D8</f>
        <v>1672.0146633339996</v>
      </c>
      <c r="E9" s="19">
        <f>E7+E8</f>
        <v>1998.2737314768024</v>
      </c>
      <c r="F9" s="19">
        <f>F7+F8</f>
        <v>2386.6776928974614</v>
      </c>
      <c r="G9" s="20">
        <f>IFERROR((F9/B9)^(1/4)-1,"")</f>
        <v>0.19554991177606507</v>
      </c>
    </row>
    <row r="10">
      <c r="A10" s="9" t="inlineStr">
        <is>
          <t>Рентабельность EBITDA</t>
        </is>
      </c>
      <c r="B10" s="17">
        <f>B9/B5</f>
        <v>0.21999999999999997</v>
      </c>
      <c r="C10" s="17">
        <f>C9/C5</f>
        <v>0.22599999999999995</v>
      </c>
      <c r="D10" s="17">
        <f>D9/D5</f>
        <v>0.23199999999999996</v>
      </c>
      <c r="E10" s="17">
        <f>E9/E5</f>
        <v>0.23800000000000002</v>
      </c>
      <c r="F10" s="17">
        <f>F9/F5</f>
        <v>0.244</v>
      </c>
    </row>
    <row r="11">
      <c r="A11" s="9" t="inlineStr">
        <is>
          <t>Амортизация</t>
        </is>
      </c>
      <c r="B11" s="15">
        <f>-Капзатраты_2026/Срок_аморт*1</f>
        <v>-122.5</v>
      </c>
      <c r="C11" s="15">
        <f>-Капзатраты_2026/Срок_аморт*2</f>
        <v>-245.0</v>
      </c>
      <c r="D11" s="15">
        <f>-Капзатраты_2026/Срок_аморт*3</f>
        <v>-367.5</v>
      </c>
      <c r="E11" s="15">
        <f>-Капзатраты_2026/Срок_аморт*4</f>
        <v>-490.0</v>
      </c>
      <c r="F11" s="15">
        <f>-Капзатраты_2026/Срок_аморт*5</f>
        <v>-612.5</v>
      </c>
      <c r="G11" s="16">
        <f>IFERROR((F11/B11)^(1/4)-1,"")</f>
        <v>0.4953487812212205</v>
      </c>
    </row>
    <row r="12">
      <c r="A12" s="18" t="inlineStr">
        <is>
          <t>EBIT</t>
        </is>
      </c>
      <c r="B12" s="19">
        <f>B9+B11</f>
        <v>1045.7153999999998</v>
      </c>
      <c r="C12" s="19">
        <f>C9+C11</f>
        <v>1153.0883302999996</v>
      </c>
      <c r="D12" s="19">
        <f>D9+D11</f>
        <v>1304.5146633339996</v>
      </c>
      <c r="E12" s="19">
        <f>E9+E11</f>
        <v>1508.2737314768024</v>
      </c>
      <c r="F12" s="19">
        <f>F9+F11</f>
        <v>1774.1776928974614</v>
      </c>
      <c r="G12" s="20">
        <f>IFERROR((F12/B12)^(1/4)-1,"")</f>
        <v>0.1412897127037318</v>
      </c>
    </row>
    <row r="13">
      <c r="A13" s="9" t="inlineStr">
        <is>
          <t>Налог на прибыль</t>
        </is>
      </c>
      <c r="B13" s="15">
        <f>-MAX(0,B12)*Налог</f>
        <v>-209.14307999999997</v>
      </c>
      <c r="C13" s="15">
        <f>-MAX(0,C12)*Налог</f>
        <v>-230.61766605999992</v>
      </c>
      <c r="D13" s="15">
        <f>-MAX(0,D12)*Налог</f>
        <v>-260.9029326667999</v>
      </c>
      <c r="E13" s="15">
        <f>-MAX(0,E12)*Налог</f>
        <v>-301.6547462953605</v>
      </c>
      <c r="F13" s="15">
        <f>-MAX(0,F12)*Налог</f>
        <v>-354.8355385794923</v>
      </c>
      <c r="G13" s="16">
        <f>IFERROR((F13/B13)^(1/4)-1,"")</f>
        <v>0.1412897127037318</v>
      </c>
    </row>
    <row r="14">
      <c r="A14" s="18" t="inlineStr">
        <is>
          <t>Чистая прибыль</t>
        </is>
      </c>
      <c r="B14" s="19">
        <f>B12+B13</f>
        <v>836.5723199999999</v>
      </c>
      <c r="C14" s="19">
        <f>C12+C13</f>
        <v>922.4706642399997</v>
      </c>
      <c r="D14" s="19">
        <f>D12+D13</f>
        <v>1043.6117306671997</v>
      </c>
      <c r="E14" s="19">
        <f>E12+E13</f>
        <v>1206.618985181442</v>
      </c>
      <c r="F14" s="19">
        <f>F12+F13</f>
        <v>1419.342154317969</v>
      </c>
      <c r="G14" s="20">
        <f>IFERROR((F14/B14)^(1/4)-1,"")</f>
        <v>0.1412897127037318</v>
      </c>
    </row>
    <row r="16">
      <c r="A16" s="2" t="inlineStr">
        <is>
          <t>Проверка: EBITDA = Валовая прибыль + Опер. расходы</t>
        </is>
      </c>
      <c r="B16" s="21" t="str">
        <f>IF(SUMPRODUCT(--(ABS(B9:F9-(B7:F7+B8:F8))&gt;0.001))=0,"OK","ОШИБКА")</f>
        <v>OK</v>
      </c>
    </row>
  </sheetData>
  <conditionalFormatting sqref="B10:F10">
    <cfRule type="colorScale" priority="1">
      <colorScale>
        <cfvo type="min"/>
        <cfvo type="percentile" val="50"/>
        <cfvo type="max"/>
        <color rgb="00F8D0CB"/>
        <color rgb="00FFF3CD"/>
        <color rgb="00CDE7DA"/>
      </colorScale>
    </cfRule>
  </conditionalFormatting>
  <conditionalFormatting sqref="B5:F5">
    <cfRule type="dataBar" priority="2">
      <dataBar>
        <cfvo type="min"/>
        <cfvo type="max"/>
        <color rgb="004A6FA5"/>
      </dataBar>
    </cfRule>
  </conditionalFormatting>
  <conditionalFormatting sqref="B14:F14">
    <cfRule type="cellIs" priority="3" operator="less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2" customHeight="1">
      <c r="A1" s="1" t="inlineStr">
        <is>
          <t>Дисконтированный денежный поток</t>
        </is>
      </c>
    </row>
    <row r="2">
      <c r="A2" s="2" t="inlineStr">
        <is>
          <t>Оценка на 16 августа 2026 года</t>
        </is>
      </c>
    </row>
    <row r="4">
      <c r="A4" s="14" t="inlineStr">
        <is>
          <t>Показатель</t>
        </is>
      </c>
      <c r="B4" s="14" t="n">
        <v>2026</v>
      </c>
      <c r="C4" s="14" t="n">
        <v>2027</v>
      </c>
      <c r="D4" s="14" t="n">
        <v>2028</v>
      </c>
      <c r="E4" s="14" t="n">
        <v>2029</v>
      </c>
      <c r="F4" s="14" t="n">
        <v>2030</v>
      </c>
    </row>
    <row r="5">
      <c r="A5" s="9" t="inlineStr">
        <is>
          <t>EBITDA</t>
        </is>
      </c>
      <c r="B5" s="15">
        <f>'Прогноз P&amp;L'!B9</f>
        <v>1168.2153999999998</v>
      </c>
      <c r="C5" s="15">
        <f>'Прогноз P&amp;L'!C9</f>
        <v>1398.0883302999996</v>
      </c>
      <c r="D5" s="15">
        <f>'Прогноз P&amp;L'!D9</f>
        <v>1672.0146633339996</v>
      </c>
      <c r="E5" s="15">
        <f>'Прогноз P&amp;L'!E9</f>
        <v>1998.2737314768024</v>
      </c>
      <c r="F5" s="15">
        <f>'Прогноз P&amp;L'!F9</f>
        <v>2386.6776928974614</v>
      </c>
    </row>
    <row r="6">
      <c r="A6" s="9" t="inlineStr">
        <is>
          <t>Налог (кассовый)</t>
        </is>
      </c>
      <c r="B6" s="15">
        <f>'Прогноз P&amp;L'!B13</f>
        <v>-209.14307999999997</v>
      </c>
      <c r="C6" s="15">
        <f>'Прогноз P&amp;L'!C13</f>
        <v>-230.61766605999992</v>
      </c>
      <c r="D6" s="15">
        <f>'Прогноз P&amp;L'!D13</f>
        <v>-260.9029326667999</v>
      </c>
      <c r="E6" s="15">
        <f>'Прогноз P&amp;L'!E13</f>
        <v>-301.6547462953605</v>
      </c>
      <c r="F6" s="15">
        <f>'Прогноз P&amp;L'!F13</f>
        <v>-354.8355385794923</v>
      </c>
    </row>
    <row r="7">
      <c r="A7" s="9" t="inlineStr">
        <is>
          <t>Капитальные затраты</t>
        </is>
      </c>
      <c r="B7" s="15">
        <f>-Капзатраты_2026*(1-Капзатраты_спад)^0</f>
        <v>-980.0</v>
      </c>
      <c r="C7" s="15">
        <f>-Капзатраты_2026*(1-Капзатраты_спад)^1</f>
        <v>-921.1999999999999</v>
      </c>
      <c r="D7" s="15">
        <f>-Капзатраты_2026*(1-Капзатраты_спад)^2</f>
        <v>-865.928</v>
      </c>
      <c r="E7" s="15">
        <f>-Капзатраты_2026*(1-Капзатраты_спад)^3</f>
        <v>-813.9723199999999</v>
      </c>
      <c r="F7" s="15">
        <f>-Капзатраты_2026*(1-Капзатраты_спад)^4</f>
        <v>-765.1339807999998</v>
      </c>
    </row>
    <row r="8">
      <c r="A8" s="9" t="inlineStr">
        <is>
          <t>Изменение оборотного капитала</t>
        </is>
      </c>
      <c r="B8" s="15">
        <f>-('Прогноз P&amp;L'!B5-Выручка_база)*ОК_доля</f>
        <v>-63.17387999999998</v>
      </c>
      <c r="C8" s="15">
        <f>-('Прогноз P&amp;L'!C5-'Прогноз P&amp;L'!B5)*ОК_доля</f>
        <v>-73.59757019999999</v>
      </c>
      <c r="D8" s="15">
        <f>-('Прогноз P&amp;L'!D5-'Прогноз P&amp;L'!C5)*ОК_доля</f>
        <v>-85.74116928299998</v>
      </c>
      <c r="E8" s="15">
        <f>-('Прогноз P&amp;L'!E5-'Прогноз P&amp;L'!D5)*ОК_доля</f>
        <v>-99.88846221469501</v>
      </c>
      <c r="F8" s="15">
        <f>-('Прогноз P&amp;L'!F5-'Прогноз P&amp;L'!E5)*ОК_доля</f>
        <v>-116.3700584801197</v>
      </c>
    </row>
    <row r="9">
      <c r="A9" s="18" t="inlineStr">
        <is>
          <t>Свободный денежный поток</t>
        </is>
      </c>
      <c r="B9" s="19">
        <f>SUM(B5:B8)</f>
        <v>-84.1015600000001</v>
      </c>
      <c r="C9" s="19">
        <f>SUM(C5:C8)</f>
        <v>172.67309403999974</v>
      </c>
      <c r="D9" s="19">
        <f>SUM(D5:D8)</f>
        <v>459.44256138419973</v>
      </c>
      <c r="E9" s="19">
        <f>SUM(E5:E8)</f>
        <v>782.7582029667471</v>
      </c>
      <c r="F9" s="19">
        <f>SUM(F5:F8)</f>
        <v>1150.3381150378495</v>
      </c>
    </row>
    <row r="10">
      <c r="A10" s="9" t="inlineStr">
        <is>
          <t>Коэффициент дисконтирования</t>
        </is>
      </c>
      <c r="B10" s="22">
        <f>1/(1+WACC)^1</f>
        <v>0.8918617614269787</v>
      </c>
      <c r="C10" s="22">
        <f>1/(1+WACC)^2</f>
        <v>0.7954174014956332</v>
      </c>
      <c r="D10" s="22">
        <f>1/(1+WACC)^3</f>
        <v>0.7094023647675658</v>
      </c>
      <c r="E10" s="22">
        <f>1/(1+WACC)^4</f>
        <v>0.6326888426020653</v>
      </c>
      <c r="F10" s="22">
        <f>1/(1+WACC)^5</f>
        <v>0.5642709855982745</v>
      </c>
    </row>
    <row r="11">
      <c r="A11" s="18" t="inlineStr">
        <is>
          <t>Дисконтированный FCF</t>
        </is>
      </c>
      <c r="B11" s="19">
        <f>B9*B10</f>
        <v>-75.00696544035684</v>
      </c>
      <c r="C11" s="19">
        <f>C9*C10</f>
        <v>137.3471837695077</v>
      </c>
      <c r="D11" s="19">
        <f>D9*D10</f>
        <v>325.9296395208188</v>
      </c>
      <c r="E11" s="19">
        <f>E9*E10</f>
        <v>495.24238147230375</v>
      </c>
      <c r="F11" s="19">
        <f>F9*F10</f>
        <v>649.1024219436687</v>
      </c>
    </row>
    <row r="13">
      <c r="A13" s="2" t="inlineStr">
        <is>
          <t>Поток для IRR (t₀ … t₅)</t>
        </is>
      </c>
      <c r="B13" s="23">
        <f>B16</f>
        <v>-1450</v>
      </c>
      <c r="C13" s="23">
        <f>B9</f>
        <v>-84.1015600000001</v>
      </c>
      <c r="D13" s="23">
        <f>C9</f>
        <v>172.67309403999974</v>
      </c>
      <c r="E13" s="23">
        <f>D9</f>
        <v>459.44256138419973</v>
      </c>
      <c r="F13" s="23">
        <f>E9</f>
        <v>782.7582029667471</v>
      </c>
      <c r="G13" s="23">
        <f>F9</f>
        <v>1150.3381150378495</v>
      </c>
    </row>
    <row r="16">
      <c r="A16" s="24" t="inlineStr">
        <is>
          <t>Первоначальные вложения (2025)</t>
        </is>
      </c>
      <c r="B16" s="10" t="n">
        <v>-1450</v>
      </c>
    </row>
    <row r="17">
      <c r="A17" s="24" t="inlineStr">
        <is>
          <t>Сумма дисконтированных FCF</t>
        </is>
      </c>
      <c r="B17" s="25">
        <f>SUM(B11:F11)</f>
        <v>1532.6146612659422</v>
      </c>
    </row>
    <row r="18">
      <c r="A18" s="24" t="inlineStr">
        <is>
          <t>Терминальная стоимость (g = 3 %)</t>
        </is>
      </c>
      <c r="B18" s="25">
        <f>F9*(1+0.03)/(WACC-0.03)*F10</f>
        <v>7326.854735364151</v>
      </c>
    </row>
    <row r="19">
      <c r="A19" s="24" t="inlineStr">
        <is>
          <t>NPV программы (без терминальной стоимости)</t>
        </is>
      </c>
      <c r="B19" s="25">
        <f>B16+B17</f>
        <v>82.61466126594223</v>
      </c>
    </row>
    <row r="20">
      <c r="A20" s="24" t="inlineStr">
        <is>
          <t>Стоимость бизнеса (EV)</t>
        </is>
      </c>
      <c r="B20" s="25">
        <f>B17+B18</f>
        <v>8859.469396630093</v>
      </c>
    </row>
    <row r="21">
      <c r="A21" s="24" t="inlineStr">
        <is>
          <t>Чистый долг</t>
        </is>
      </c>
      <c r="B21" s="10" t="n">
        <v>2380</v>
      </c>
    </row>
    <row r="22">
      <c r="A22" s="24" t="inlineStr">
        <is>
          <t>Стоимость капитала</t>
        </is>
      </c>
      <c r="B22" s="25">
        <f>B20-B21</f>
        <v>6479.469396630093</v>
      </c>
    </row>
    <row r="23">
      <c r="A23" s="24" t="inlineStr">
        <is>
          <t>IRR проекта</t>
        </is>
      </c>
      <c r="B23" s="12">
        <f>IRR(B13:G13)</f>
        <v>0.13623069746700622</v>
      </c>
    </row>
  </sheetData>
  <conditionalFormatting sqref="B9:F9">
    <cfRule type="iconSet" priority="1">
      <iconSet iconSet="3TrafficLights1" showValue="1">
        <cfvo type="num" val="-1000"/>
        <cfvo type="num" val="0"/>
        <cfvo type="num" val="500"/>
      </iconSet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2" customHeight="1">
      <c r="A1" s="1" t="inlineStr">
        <is>
          <t>Матрица чувствительности NPV</t>
        </is>
      </c>
    </row>
    <row r="2">
      <c r="A2" s="2" t="inlineStr">
        <is>
          <t>Строки — WACC, столбцы — темп роста выручки. млн ₽</t>
        </is>
      </c>
    </row>
    <row r="4">
      <c r="A4" s="14" t="inlineStr">
        <is>
          <t>WACC \ Рост</t>
        </is>
      </c>
      <c r="B4" s="26" t="n">
        <v>0.08</v>
      </c>
      <c r="C4" s="26" t="n">
        <v>0.12</v>
      </c>
      <c r="D4" s="26" t="n">
        <v>0.165</v>
      </c>
      <c r="E4" s="26" t="n">
        <v>0.2</v>
      </c>
      <c r="F4" s="26" t="n">
        <v>0.24</v>
      </c>
    </row>
    <row r="5">
      <c r="A5" s="27" t="n">
        <v>0.11</v>
      </c>
      <c r="B5" s="15">
        <f>ROUND(Выручка_база*(1+B$4)^5*0.22/(1+$A5)^5*5-SUM(DCF!$B$7:$F$7)*-1,0)</f>
        <v>26.0</v>
      </c>
      <c r="C5" s="15">
        <f>ROUND(Выручка_база*(1+C$4)^5*0.22/(1+$A5)^5*5-SUM(DCF!$B$7:$F$7)*-1,0)</f>
        <v>898.0</v>
      </c>
      <c r="D5" s="15">
        <f>ROUND(Выручка_база*(1+D$4)^5*0.22/(1+$A5)^5*5-SUM(DCF!$B$7:$F$7)*-1,0)</f>
        <v>2039.0</v>
      </c>
      <c r="E5" s="15">
        <f>ROUND(Выручка_база*(1+E$4)^5*0.22/(1+$A5)^5*5-SUM(DCF!$B$7:$F$7)*-1,0)</f>
        <v>3058.0</v>
      </c>
      <c r="F5" s="15">
        <f>ROUND(Выручка_база*(1+F$4)^5*0.22/(1+$A5)^5*5-SUM(DCF!$B$7:$F$7)*-1,0)</f>
        <v>4377.0</v>
      </c>
    </row>
    <row r="6">
      <c r="A6" s="27" t="n">
        <v>0.125</v>
      </c>
      <c r="B6" s="15">
        <f>ROUND(Выручка_база*(1+B$4)^5*0.22/(1+$A6)^5*5-SUM(DCF!$B$7:$F$7)*-1,0)</f>
        <v>-258.0</v>
      </c>
      <c r="C6" s="15">
        <f>ROUND(Выручка_база*(1+C$4)^5*0.22/(1+$A6)^5*5-SUM(DCF!$B$7:$F$7)*-1,0)</f>
        <v>557.0</v>
      </c>
      <c r="D6" s="15">
        <f>ROUND(Выручка_база*(1+D$4)^5*0.22/(1+$A6)^5*5-SUM(DCF!$B$7:$F$7)*-1,0)</f>
        <v>1625.0</v>
      </c>
      <c r="E6" s="15">
        <f>ROUND(Выручка_база*(1+E$4)^5*0.22/(1+$A6)^5*5-SUM(DCF!$B$7:$F$7)*-1,0)</f>
        <v>2577.0</v>
      </c>
      <c r="F6" s="15">
        <f>ROUND(Выручка_база*(1+F$4)^5*0.22/(1+$A6)^5*5-SUM(DCF!$B$7:$F$7)*-1,0)</f>
        <v>3810.0</v>
      </c>
    </row>
    <row r="7">
      <c r="A7" s="27" t="n">
        <v>0.14</v>
      </c>
      <c r="B7" s="15">
        <f>ROUND(Выручка_база*(1+B$4)^5*0.22/(1+$A7)^5*5-SUM(DCF!$B$7:$F$7)*-1,0)</f>
        <v>-520.0</v>
      </c>
      <c r="C7" s="15">
        <f>ROUND(Выручка_база*(1+C$4)^5*0.22/(1+$A7)^5*5-SUM(DCF!$B$7:$F$7)*-1,0)</f>
        <v>243.0</v>
      </c>
      <c r="D7" s="15">
        <f>ROUND(Выручка_база*(1+D$4)^5*0.22/(1+$A7)^5*5-SUM(DCF!$B$7:$F$7)*-1,0)</f>
        <v>1242.0</v>
      </c>
      <c r="E7" s="15">
        <f>ROUND(Выручка_база*(1+E$4)^5*0.22/(1+$A7)^5*5-SUM(DCF!$B$7:$F$7)*-1,0)</f>
        <v>2133.0</v>
      </c>
      <c r="F7" s="15">
        <f>ROUND(Выручка_база*(1+F$4)^5*0.22/(1+$A7)^5*5-SUM(DCF!$B$7:$F$7)*-1,0)</f>
        <v>3288.0</v>
      </c>
    </row>
    <row r="8">
      <c r="A8" s="27" t="n">
        <v>0.155</v>
      </c>
      <c r="B8" s="15">
        <f>ROUND(Выручка_база*(1+B$4)^5*0.22/(1+$A8)^5*5-SUM(DCF!$B$7:$F$7)*-1,0)</f>
        <v>-762.0</v>
      </c>
      <c r="C8" s="15">
        <f>ROUND(Выручка_база*(1+C$4)^5*0.22/(1+$A8)^5*5-SUM(DCF!$B$7:$F$7)*-1,0)</f>
        <v>-47.0</v>
      </c>
      <c r="D8" s="15">
        <f>ROUND(Выручка_база*(1+D$4)^5*0.22/(1+$A8)^5*5-SUM(DCF!$B$7:$F$7)*-1,0)</f>
        <v>888.0</v>
      </c>
      <c r="E8" s="15">
        <f>ROUND(Выручка_база*(1+E$4)^5*0.22/(1+$A8)^5*5-SUM(DCF!$B$7:$F$7)*-1,0)</f>
        <v>1723.0</v>
      </c>
      <c r="F8" s="15">
        <f>ROUND(Выручка_база*(1+F$4)^5*0.22/(1+$A8)^5*5-SUM(DCF!$B$7:$F$7)*-1,0)</f>
        <v>2805.0</v>
      </c>
    </row>
    <row r="9">
      <c r="A9" s="27" t="n">
        <v>0.17</v>
      </c>
      <c r="B9" s="15">
        <f>ROUND(Выручка_база*(1+B$4)^5*0.22/(1+$A9)^5*5-SUM(DCF!$B$7:$F$7)*-1,0)</f>
        <v>-986.0</v>
      </c>
      <c r="C9" s="15">
        <f>ROUND(Выручка_база*(1+C$4)^5*0.22/(1+$A9)^5*5-SUM(DCF!$B$7:$F$7)*-1,0)</f>
        <v>-316.0</v>
      </c>
      <c r="D9" s="15">
        <f>ROUND(Выручка_база*(1+D$4)^5*0.22/(1+$A9)^5*5-SUM(DCF!$B$7:$F$7)*-1,0)</f>
        <v>561.0</v>
      </c>
      <c r="E9" s="15">
        <f>ROUND(Выручка_база*(1+E$4)^5*0.22/(1+$A9)^5*5-SUM(DCF!$B$7:$F$7)*-1,0)</f>
        <v>1344.0</v>
      </c>
      <c r="F9" s="15">
        <f>ROUND(Выручка_база*(1+F$4)^5*0.22/(1+$A9)^5*5-SUM(DCF!$B$7:$F$7)*-1,0)</f>
        <v>2358.0</v>
      </c>
    </row>
    <row r="12">
      <c r="A12" s="2" t="inlineStr">
        <is>
          <t>Зелёные ячейки — сочетания, при которых программа создаёт стоимость.</t>
        </is>
      </c>
    </row>
  </sheetData>
  <conditionalFormatting sqref="B5:F9">
    <cfRule type="colorScale" priority="1">
      <colorScale>
        <cfvo type="min"/>
        <cfvo type="percentile" val="50"/>
        <cfvo type="max"/>
        <color rgb="00F1B5AE"/>
        <color rgb="00FFF3CD"/>
        <color rgb="00A9D5BE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7" customWidth="1" min="4" max="4"/>
    <col width="18" customWidth="1" min="5" max="5"/>
    <col width="11" customWidth="1" min="6" max="6"/>
    <col width="13" customWidth="1" min="7" max="7"/>
  </cols>
  <sheetData>
    <row r="1" ht="22" customHeight="1">
      <c r="A1" s="1" t="inlineStr">
        <is>
          <t>Реестр объектов модернизации</t>
        </is>
      </c>
    </row>
    <row r="2">
      <c r="A2" s="2" t="inlineStr">
        <is>
          <t>Сгруппировано по регионам</t>
        </is>
      </c>
    </row>
    <row r="4">
      <c r="A4" s="14" t="inlineStr">
        <is>
          <t>Регион</t>
        </is>
      </c>
      <c r="B4" s="14" t="inlineStr">
        <is>
          <t>Площадка</t>
        </is>
      </c>
      <c r="C4" s="14" t="inlineStr">
        <is>
          <t>Тип</t>
        </is>
      </c>
      <c r="D4" s="14" t="inlineStr">
        <is>
          <t>Мощность, МВт·ч</t>
        </is>
      </c>
      <c r="E4" s="14" t="inlineStr">
        <is>
          <t>Капзатраты, млн ₽</t>
        </is>
      </c>
      <c r="F4" s="14" t="inlineStr">
        <is>
          <t>Ввод</t>
        </is>
      </c>
      <c r="G4" s="14" t="inlineStr">
        <is>
          <t>Готовность</t>
        </is>
      </c>
    </row>
    <row r="5">
      <c r="A5" s="9" t="inlineStr">
        <is>
          <t>Северо-Запад</t>
        </is>
      </c>
      <c r="B5" s="9" t="inlineStr">
        <is>
          <t>Псков-1</t>
        </is>
      </c>
      <c r="C5" s="9" t="inlineStr">
        <is>
          <t>Контейнерный</t>
        </is>
      </c>
      <c r="D5" s="15" t="n">
        <v>24</v>
      </c>
      <c r="E5" s="15" t="n">
        <v>186</v>
      </c>
      <c r="F5" s="9" t="inlineStr">
        <is>
          <t>2026-Q2</t>
        </is>
      </c>
      <c r="G5" s="28" t="n">
        <v>0.92</v>
      </c>
    </row>
    <row r="6">
      <c r="A6" s="29" t="inlineStr">
        <is>
          <t>Северо-Запад</t>
        </is>
      </c>
      <c r="B6" s="29" t="inlineStr">
        <is>
          <t>Псков-2</t>
        </is>
      </c>
      <c r="C6" s="29" t="inlineStr">
        <is>
          <t>Контейнерный</t>
        </is>
      </c>
      <c r="D6" s="30" t="n">
        <v>18</v>
      </c>
      <c r="E6" s="30" t="n">
        <v>141</v>
      </c>
      <c r="F6" s="29" t="inlineStr">
        <is>
          <t>2026-Q4</t>
        </is>
      </c>
      <c r="G6" s="31" t="n">
        <v>0.64</v>
      </c>
    </row>
    <row r="7">
      <c r="A7" s="9" t="inlineStr">
        <is>
          <t>Северо-Запад</t>
        </is>
      </c>
      <c r="B7" s="9" t="inlineStr">
        <is>
          <t>Великие Луки</t>
        </is>
      </c>
      <c r="C7" s="9" t="inlineStr">
        <is>
          <t>Модульный</t>
        </is>
      </c>
      <c r="D7" s="15" t="n">
        <v>12</v>
      </c>
      <c r="E7" s="15" t="n">
        <v>98</v>
      </c>
      <c r="F7" s="9" t="inlineStr">
        <is>
          <t>2027-Q1</t>
        </is>
      </c>
      <c r="G7" s="28" t="n">
        <v>0.31</v>
      </c>
    </row>
    <row r="8">
      <c r="A8" s="29" t="inlineStr">
        <is>
          <t>Центр</t>
        </is>
      </c>
      <c r="B8" s="29" t="inlineStr">
        <is>
          <t>Тула-Восток</t>
        </is>
      </c>
      <c r="C8" s="29" t="inlineStr">
        <is>
          <t>Контейнерный</t>
        </is>
      </c>
      <c r="D8" s="30" t="n">
        <v>32</v>
      </c>
      <c r="E8" s="30" t="n">
        <v>244</v>
      </c>
      <c r="F8" s="29" t="inlineStr">
        <is>
          <t>2026-Q3</t>
        </is>
      </c>
      <c r="G8" s="31" t="n">
        <v>0.78</v>
      </c>
    </row>
    <row r="9">
      <c r="A9" s="9" t="inlineStr">
        <is>
          <t>Центр</t>
        </is>
      </c>
      <c r="B9" s="9" t="inlineStr">
        <is>
          <t>Калуга-Юг</t>
        </is>
      </c>
      <c r="C9" s="9" t="inlineStr">
        <is>
          <t>Контейнерный</t>
        </is>
      </c>
      <c r="D9" s="15" t="n">
        <v>28</v>
      </c>
      <c r="E9" s="15" t="n">
        <v>213</v>
      </c>
      <c r="F9" s="9" t="inlineStr">
        <is>
          <t>2027-Q2</t>
        </is>
      </c>
      <c r="G9" s="28" t="n">
        <v>0.22</v>
      </c>
    </row>
    <row r="10">
      <c r="A10" s="29" t="inlineStr">
        <is>
          <t>Центр</t>
        </is>
      </c>
      <c r="B10" s="29" t="inlineStr">
        <is>
          <t>Рязань</t>
        </is>
      </c>
      <c r="C10" s="29" t="inlineStr">
        <is>
          <t>Модульный</t>
        </is>
      </c>
      <c r="D10" s="30" t="n">
        <v>14</v>
      </c>
      <c r="E10" s="30" t="n">
        <v>112</v>
      </c>
      <c r="F10" s="29" t="inlineStr">
        <is>
          <t>2027-Q3</t>
        </is>
      </c>
      <c r="G10" s="31" t="n">
        <v>0.08</v>
      </c>
    </row>
    <row r="11">
      <c r="A11" s="9" t="inlineStr">
        <is>
          <t>Урал</t>
        </is>
      </c>
      <c r="B11" s="9" t="inlineStr">
        <is>
          <t>Екатеринбург-Север</t>
        </is>
      </c>
      <c r="C11" s="9" t="inlineStr">
        <is>
          <t>Контейнерный</t>
        </is>
      </c>
      <c r="D11" s="15" t="n">
        <v>40</v>
      </c>
      <c r="E11" s="15" t="n">
        <v>305</v>
      </c>
      <c r="F11" s="9" t="inlineStr">
        <is>
          <t>2026-Q4</t>
        </is>
      </c>
      <c r="G11" s="28" t="n">
        <v>0.55</v>
      </c>
    </row>
    <row r="12">
      <c r="A12" s="29" t="inlineStr">
        <is>
          <t>Урал</t>
        </is>
      </c>
      <c r="B12" s="29" t="inlineStr">
        <is>
          <t>Челябинск</t>
        </is>
      </c>
      <c r="C12" s="29" t="inlineStr">
        <is>
          <t>Контейнерный</t>
        </is>
      </c>
      <c r="D12" s="30" t="n">
        <v>36</v>
      </c>
      <c r="E12" s="30" t="n">
        <v>274</v>
      </c>
      <c r="F12" s="29" t="inlineStr">
        <is>
          <t>2027-Q4</t>
        </is>
      </c>
      <c r="G12" s="31" t="n">
        <v>0.14</v>
      </c>
    </row>
    <row r="13">
      <c r="A13" s="9" t="inlineStr">
        <is>
          <t>Сибирь</t>
        </is>
      </c>
      <c r="B13" s="9" t="inlineStr">
        <is>
          <t>Новосибирск</t>
        </is>
      </c>
      <c r="C13" s="9" t="inlineStr">
        <is>
          <t>Модульный</t>
        </is>
      </c>
      <c r="D13" s="15" t="n">
        <v>22</v>
      </c>
      <c r="E13" s="15" t="n">
        <v>178</v>
      </c>
      <c r="F13" s="9" t="inlineStr">
        <is>
          <t>2028-Q1</t>
        </is>
      </c>
      <c r="G13" s="28" t="n">
        <v>0.05</v>
      </c>
    </row>
    <row r="14">
      <c r="A14" s="29" t="inlineStr">
        <is>
          <t>Сибирь</t>
        </is>
      </c>
      <c r="B14" s="29" t="inlineStr">
        <is>
          <t>Кемерово</t>
        </is>
      </c>
      <c r="C14" s="29" t="inlineStr">
        <is>
          <t>Контейнерный</t>
        </is>
      </c>
      <c r="D14" s="30" t="n">
        <v>26</v>
      </c>
      <c r="E14" s="30" t="n">
        <v>199</v>
      </c>
      <c r="F14" s="29" t="inlineStr">
        <is>
          <t>2028-Q2</t>
        </is>
      </c>
      <c r="G14" s="31" t="n">
        <v>0</v>
      </c>
    </row>
    <row r="15">
      <c r="A15" s="32" t="inlineStr">
        <is>
          <t>Итого</t>
        </is>
      </c>
      <c r="B15" s="32" t="n"/>
      <c r="C15" s="32" t="n"/>
      <c r="D15" s="33">
        <f>SUBTOTAL(109,D5:D14)</f>
      </c>
      <c r="E15" s="33">
        <f>SUBTOTAL(109,E5:E14)</f>
      </c>
      <c r="F15" s="32" t="n"/>
      <c r="G15" s="34">
        <f>SUBTOTAL(101,G5:G14)</f>
      </c>
    </row>
  </sheetData>
  <autoFilter ref="A4:G14"/>
  <conditionalFormatting sqref="G5:G14">
    <cfRule type="dataBar" priority="1">
      <dataBar>
        <cfvo type="num" val="0"/>
        <cfvo type="num" val="1"/>
        <color rgb="002E7D5B"/>
      </dataBar>
    </cfRule>
    <cfRule type="cellIs" priority="2" operator="lessThan" dxfId="0">
      <formula>0.2</formula>
    </cfRule>
  </conditionalFormatting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 ht="22" customHeight="1">
      <c r="A1" s="1" t="inlineStr">
        <is>
          <t>Графики</t>
        </is>
      </c>
    </row>
    <row r="2">
      <c r="A2" s="2" t="inlineStr">
        <is>
          <t>Связаны с листами прогноза — обновляются при пересчёте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Департамент стратегического развития</dc:creator>
  <dc:title xmlns:dc="http://purl.org/dc/elements/1.1/">Финансовая модель — модернизация накопителей</dc:title>
  <dcterms:created xmlns:dcterms="http://purl.org/dc/terms/" xmlns:xsi="http://www.w3.org/2001/XMLSchema-instance" xsi:type="dcterms:W3CDTF">2026-08-16T01:44:33Z</dcterms:created>
  <dcterms:modified xmlns:dcterms="http://purl.org/dc/terms/" xmlns:xsi="http://www.w3.org/2001/XMLSchema-instance" xsi:type="dcterms:W3CDTF">2026-08-16T01:44:33Z</dcterms:modified>
</cp:coreProperties>
</file>
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_rels/workbook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нель" sheetId="1" state="visible" r:id="rId3"/>
    <sheet name="Данные" sheetId="2" state="visible" r:id="rId4"/>
    <sheet name="Допущения" sheetId="3" state="visible" r:id="rId5"/>
    <sheet name="_Источники" sheetId="4" state="hidden" r:id="rId6"/>
  </sheets>
  <definedNames>
    <definedName function="false" hidden="false" localSheetId="1" name="_xlnm.Print_Area" vbProcedure="false">Данные!$A$1:$C$5</definedName>
    <definedName function="false" hidden="false" localSheetId="1" name="_xlnm.Print_Titles" vbProcedure="false">Данные!$1:$1</definedName>
    <definedName function="false" hidden="false" localSheetId="2" name="_xlnm.Print_Area" vbProcedure="false">Допущения!$A$1:$B$6</definedName>
    <definedName function="false" hidden="false" localSheetId="0" name="_xlnm.Print_Area" vbProcedure="false">Панель!$A$1:$H$22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<sst xmlns="http://schemas.openxmlformats.org/spreadsheetml/2006/main" count="25" uniqueCount="25">
  <si>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Операционная панель</t>
  </si>
  <si>
    <t xml:space="preserve">Обновлено: 20 августа 2026</t>
  </si>
  <si>
    <t xml:space="preserve">Показатель</t>
  </si>
  <si>
    <t xml:space="preserve">Значение</t>
  </si>
  <si>
    <t xml:space="preserve">Статус</t>
  </si>
  <si>
    <t xml:space="preserve">Выручка за период</t>
  </si>
  <si>
    <t xml:space="preserve">Средняя маржа</t>
  </si>
  <si>
    <t xml:space="preserve">Интерпретация</t>
  </si>
  <si>
    <t xml:space="preserve">Синие ячейки — формулы, жёлтые — пользовательские допущения. Все итоговые значения пересчитываются в Excel или LibreOffice.</t>
  </si>
  <si>
    <t xml:space="preserve">Квартал</t>
  </si>
  <si>
    <t xml:space="preserve">Выручка</t>
  </si>
  <si>
    <t xml:space="preserve">Маржа</t>
  </si>
  <si>
    <t xml:space="preserve">I кв.</t>
  </si>
  <si>
    <t xml:space="preserve">II кв.</t>
  </si>
  <si>
    <t xml:space="preserve">III кв.</t>
  </si>
  <si>
    <t xml:space="preserve">IV кв.</t>
  </si>
  <si>
    <t xml:space="preserve">Сценарные параметры</t>
  </si>
  <si>
    <t xml:space="preserve">Целевая маржа</t>
  </si>
  <si>
    <t xml:space="preserve">Сценарий</t>
  </si>
  <si>
    <t xml:space="preserve">Консервативный</t>
  </si>
  <si>
    <t xml:space="preserve">Изменяйте только жёлтые ячейки.</t>
  </si>
  <si>
    <t xml:space="preserve">Источник</t>
  </si>
  <si>
    <t xml:space="preserve">Описание</t>
  </si>
  <si>
    <t xml:space="preserve">Management reporting</t>
  </si>
  <si>
    <t xml:space="preserve">Демонстрационные данные; заменить на проверенный источник в реальном отчёте.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</si>
</sst>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₽#,##0;[RED]&quot;(₽&quot;#,##0\);\-"/>
    <numFmt numFmtId="166" formatCode="dd\.mm\.yyyy"/>
    <numFmt numFmtId="167" formatCode="#,##0.0;[RED]\(#,##0.0\);\-"/>
    <numFmt numFmtId="168" formatCode="#,##0;[RED]\(#,##0\);\-"/>
    <numFmt numFmtId="169" formatCode="0.0%;[RED]\(0.0%\);\-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634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B54343"/>
      <name val="Arial"/>
      <family val="0"/>
      <charset val="1"/>
    </font>
    <font>
      <i val="true"/>
      <sz val="9"/>
      <color rgb="FF687983"/>
      <name val="Arial"/>
      <family val="0"/>
      <charset val="1"/>
    </font>
    <font>
      <b val="true"/>
      <sz val="10"/>
      <color rgb="FF26734D"/>
      <name val="Arial"/>
      <family val="0"/>
      <charset val="1"/>
    </font>
    <font>
      <b val="true"/>
      <sz val="13"/>
      <color rgb="FF23465C"/>
      <name val="Arial"/>
      <family val="0"/>
      <charset val="1"/>
    </font>
    <font>
      <sz val="12"/>
      <color rgb="FF687983"/>
      <name val="Arial"/>
      <family val="0"/>
      <charset val="1"/>
    </font>
    <font>
      <b val="true"/>
      <sz val="22"/>
      <color rgb="FF23465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3465C"/>
        <bgColor rgb="FF26343D"/>
      </patternFill>
    </fill>
    <fill>
      <patternFill patternType="solid">
        <fgColor rgb="FFFFF2CC"/>
        <bgColor rgb="FFF8E8E8"/>
      </patternFill>
    </fill>
    <fill>
      <patternFill patternType="solid">
        <fgColor rgb="FFF8E8E8"/>
        <bgColor rgb="FFEDF3F5"/>
      </patternFill>
    </fill>
    <fill>
      <patternFill patternType="solid">
        <fgColor rgb="FFE8F3EC"/>
        <bgColor rgb="FFEDF3F5"/>
      </patternFill>
    </fill>
    <fill>
      <patternFill patternType="solid">
        <fgColor rgb="FFEDF3F5"/>
        <bgColor rgb="FFE8F3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EE3"/>
      </left>
      <right style="thin">
        <color rgb="FFD5DEE3"/>
      </right>
      <top style="thin">
        <color rgb="FFD5DEE3"/>
      </top>
      <bottom style="thin">
        <color rgb="FFD5DEE3"/>
      </bottom>
      <diagonal/>
    </border>
    <border diagonalUp="false" diagonalDown="false">
      <left/>
      <right/>
      <top/>
      <bottom style="medium">
        <color rgb="FFC47A35"/>
      </bottom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4" fillId="0" borderId="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4" fillId="0" borderId="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3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3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3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1" xfId="2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3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8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3" borderId="1" xfId="25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1" xfId="25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s-currency" xfId="20"/>
    <cellStyle name="ds-date" xfId="21"/>
    <cellStyle name="ds-decimal" xfId="22"/>
    <cellStyle name="ds-formula" xfId="23"/>
    <cellStyle name="ds-header" xfId="24"/>
    <cellStyle name="ds-input" xfId="25"/>
    <cellStyle name="ds-integer" xfId="26"/>
    <cellStyle name="ds-negative" xfId="27"/>
    <cellStyle name="ds-note" xfId="28"/>
    <cellStyle name="ds-percent" xfId="29"/>
    <cellStyle name="ds-positive" xfId="30"/>
    <cellStyle name="ds-section" xfId="31"/>
    <cellStyle name="ds-subtitle" xfId="32"/>
    <cellStyle name="ds-text" xfId="33"/>
    <cellStyle name="ds-title" xfId="34"/>
  </cellStyles>
  <dxfs count="9">
    <dxf>
      <font>
        <color rgb="FFB54343"/>
      </font>
      <fill>
        <patternFill>
          <bgColor rgb="FFF8E8E8"/>
        </patternFill>
      </fill>
    </dxf>
    <dxf>
      <fill>
        <patternFill patternType="solid">
          <fgColor rgb="FF2346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6343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3EC"/>
          <bgColor rgb="FF000000"/>
        </patternFill>
      </fill>
    </dxf>
    <dxf>
      <fill>
        <patternFill patternType="solid">
          <fgColor rgb="FFF8E8E8"/>
          <bgColor rgb="FF000000"/>
        </patternFill>
      </fill>
    </dxf>
    <dxf>
      <fill>
        <patternFill patternType="solid">
          <fgColor rgb="FFFBF2D2"/>
          <bgColor rgb="FF000000"/>
        </patternFill>
      </fill>
    </dxf>
    <dxf>
      <fill>
        <patternFill patternType="solid">
          <fgColor rgb="FFFDF0D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6734D"/>
      <rgbColor rgb="FFD9D9D9"/>
      <rgbColor rgb="FF878787"/>
      <rgbColor rgb="FF9999FF"/>
      <rgbColor rgb="FFB54343"/>
      <rgbColor rgb="FFFFF2CC"/>
      <rgbColor rgb="FFE8F3EC"/>
      <rgbColor rgb="FF660066"/>
      <rgbColor rgb="FFFF8080"/>
      <rgbColor rgb="FF0066CC"/>
      <rgbColor rgb="FFD5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5"/>
      <rgbColor rgb="FFF9F9F9"/>
      <rgbColor rgb="FFF8E8E8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47A35"/>
      <rgbColor rgb="FF687983"/>
      <rgbColor rgb="FF969696"/>
      <rgbColor rgb="FF23465C"/>
      <rgbColor rgb="FF3D6B78"/>
      <rgbColor rgb="FF003300"/>
      <rgbColor rgb="FF333300"/>
      <rgbColor rgb="FF993300"/>
      <rgbColor rgb="FF993366"/>
      <rgbColor rgb="FF333399"/>
      <rgbColor rgb="FF2634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Выручка по кварталам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Данные!B1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Данные!$A$2:$A$5</c:f>
              <c:strCache>
                <c:ptCount val="4"/>
                <c:pt idx="0">
                  <c:v>I кв.</c:v>
                </c:pt>
                <c:pt idx="1">
                  <c:v>II кв.</c:v>
                </c:pt>
                <c:pt idx="2">
                  <c:v>III кв.</c:v>
                </c:pt>
                <c:pt idx="3">
                  <c:v>IV кв.</c:v>
                </c:pt>
              </c:strCache>
            </c:strRef>
          </c:cat>
          <c:val>
            <c:numRef>
              <c:f>Данные!$B$2:$B$5</c:f>
              <c:numCache>
                <c:formatCode>\₽#,##0;[RED]"(₽"#,##0\);\-</c:formatCode>
                <c:ptCount val="4"/>
                <c:pt idx="0">
                  <c:v>12000000</c:v>
                </c:pt>
                <c:pt idx="1">
                  <c:v>14500000</c:v>
                </c:pt>
                <c:pt idx="2">
                  <c:v>16800000</c:v>
                </c:pt>
                <c:pt idx="3">
                  <c:v>19200000</c:v>
                </c:pt>
              </c:numCache>
            </c:numRef>
          </c:val>
        </c:ser>
        <c:gapWidth val="150"/>
        <c:overlap val="0"/>
        <c:axId val="19134785"/>
        <c:axId val="28815347"/>
      </c:barChart>
      <c:catAx>
        <c:axId val="191347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815347"/>
        <c:crosses val="autoZero"/>
        <c:auto val="1"/>
        <c:lblAlgn val="ctr"/>
        <c:lblOffset val="100"/>
        <c:noMultiLvlLbl val="0"/>
      </c:catAx>
      <c:valAx>
        <c:axId val="288153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Значение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₽#,##0;[RED]&quot;(₽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1347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9</xdr:col>
      <xdr:colOff>480960</xdr:colOff>
      <xdr:row>14</xdr:row>
      <xdr:rowOff>163800</xdr:rowOff>
    </xdr:to>
    <xdr:graphicFrame>
      <xdr:nvGraphicFramePr>
        <xdr:cNvPr id="0" name="Chart 1"/>
        <xdr:cNvGraphicFramePr/>
      </xdr:nvGraphicFramePr>
      <xdr:xfrm>
        <a:off x="4511160" y="8380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QuarterlyData" displayName="QuarterlyData" ref="A1:C5" headerRowCount="1" totalsRowCount="0" totalsRowShown="0">
  <autoFilter ref="A1:C5"/>
  <tableColumns count="3">
    <tableColumn id="1" name="Квартал"/>
    <tableColumn id="2" name="Выручка"/>
    <tableColumn id="3" name="Маржа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465C"/>
    <pageSetUpPr fitToPage="true"/>
  </sheetPr>
  <dimension ref="A1:H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3" min="2" style="0" width="17"/>
    <col collapsed="false" customWidth="true" hidden="false" outlineLevel="0" max="4" min="4" style="0" width="3"/>
    <col collapsed="false" customWidth="true" hidden="false" outlineLevel="0" max="8" min="5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SUM(Данные!B2:B5)*0.95</f>
        <v>59375000</v>
      </c>
      <c r="C5" s="6" t="str">
        <f aca="false">IF(B5&gt;=50000000,"В плане","Ниже плана")</f>
        <v>В плане</v>
      </c>
    </row>
    <row r="6" customFormat="false" ht="15" hidden="false" customHeight="false" outlineLevel="0" collapsed="false">
      <c r="A6" s="4" t="s">
        <v>6</v>
      </c>
      <c r="B6" s="7" t="n">
        <f aca="false">AVERAGE(Данные!C2:C5)</f>
        <v>0.235</v>
      </c>
      <c r="C6" s="6" t="str">
        <f aca="false">IF(B6&gt;=Допущения!B2,"В плане","Ниже плана")</f>
        <v>Ниже плана</v>
      </c>
    </row>
    <row r="8" customFormat="false" ht="16.15" hidden="false" customHeight="false" outlineLevel="0" collapsed="false">
      <c r="A8" s="8" t="s">
        <v>7</v>
      </c>
    </row>
    <row r="9" customFormat="false" ht="53.7" hidden="false" customHeight="false" outlineLevel="0" collapsed="false">
      <c r="A9" s="9" t="s">
        <v>8</v>
      </c>
    </row>
  </sheetData>
  <mergeCells count="1">
    <mergeCell ref="A1:H2"/>
  </mergeCells>
  <conditionalFormatting sqref="C5:C6">
    <cfRule type="cellIs" priority="2" operator="equal" aboveAverage="0" equalAverage="0" bottom="0" percent="0" rank="0" text="" dxfId="0">
      <formula>"Ниже плана"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&amp;CСтраница &amp;P из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6B78"/>
    <pageSetUpPr fitToPage="tru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</row>
    <row r="2" customFormat="false" ht="15" hidden="false" customHeight="false" outlineLevel="0" collapsed="false">
      <c r="A2" s="4" t="s">
        <v>12</v>
      </c>
      <c r="B2" s="5" t="n">
        <v>12000000</v>
      </c>
      <c r="C2" s="7" t="n">
        <v>0.21</v>
      </c>
    </row>
    <row r="3" customFormat="false" ht="15" hidden="false" customHeight="false" outlineLevel="0" collapsed="false">
      <c r="A3" s="4" t="s">
        <v>13</v>
      </c>
      <c r="B3" s="5" t="n">
        <v>14500000</v>
      </c>
      <c r="C3" s="7" t="n">
        <v>0.23</v>
      </c>
    </row>
    <row r="4" customFormat="false" ht="15" hidden="false" customHeight="false" outlineLevel="0" collapsed="false">
      <c r="A4" s="4" t="s">
        <v>14</v>
      </c>
      <c r="B4" s="5" t="n">
        <v>16800000</v>
      </c>
      <c r="C4" s="7" t="n">
        <v>0.24</v>
      </c>
    </row>
    <row r="5" customFormat="false" ht="15" hidden="false" customHeight="false" outlineLevel="0" collapsed="false">
      <c r="A5" s="4" t="s">
        <v>15</v>
      </c>
      <c r="B5" s="5" t="n">
        <v>19200000</v>
      </c>
      <c r="C5" s="7" t="n">
        <v>0.26</v>
      </c>
    </row>
  </sheetData>
  <conditionalFormatting sqref="C2:C5">
    <cfRule type="colorScale" priority="2">
      <colorScale>
        <cfvo type="min" val="0"/>
        <cfvo type="percentile" val="50"/>
        <cfvo type="max" val="0"/>
        <color rgb="FFF8E8E8"/>
        <color rgb="FFFFF2CC"/>
        <color rgb="FFE8F3EC"/>
      </colorScale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&amp;C&amp;F</oddHeader>
    <oddFooter>&amp;CСтраница &amp;P из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7A35"/>
    <pageSetUpPr fitToPage="tru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8" t="s">
        <v>16</v>
      </c>
    </row>
    <row r="2" customFormat="false" ht="15" hidden="false" customHeight="false" outlineLevel="0" collapsed="false">
      <c r="A2" s="4" t="s">
        <v>17</v>
      </c>
      <c r="B2" s="10" t="n">
        <v>0.24</v>
      </c>
    </row>
    <row r="3" customFormat="false" ht="15" hidden="false" customHeight="false" outlineLevel="0" collapsed="false">
      <c r="A3" s="4" t="s">
        <v>18</v>
      </c>
      <c r="B3" s="11" t="s">
        <v>19</v>
      </c>
    </row>
    <row r="5" customFormat="false" ht="15" hidden="false" customHeight="false" outlineLevel="0" collapsed="false">
      <c r="A5" s="9" t="s">
        <v>20</v>
      </c>
    </row>
  </sheetData>
  <dataValidations count="1">
    <dataValidation allowBlank="false" errorStyle="stop" operator="between" prompt="Выберите один из трёх сценариев" promptTitle="Сценарий" showDropDown="false" showErrorMessage="false" showInputMessage="true" sqref="B3" type="list">
      <formula1>"Консервативный,Базовый,Оптимистичный"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&amp;C&amp;F</oddHeader>
    <oddFooter>&amp;CСтраница 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" t="s">
        <v>21</v>
      </c>
      <c r="B1" s="3" t="s">
        <v>22</v>
      </c>
    </row>
    <row r="2" customFormat="false" ht="23.85" hidden="false" customHeight="false" outlineLevel="0" collapsed="false">
      <c r="A2" s="4" t="s">
        <v>23</v>
      </c>
      <c r="B2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LibreOfficeDev/24.8.8.0.0$Emscripten_x86 LibreOffice_project/d1c9e0e4e1ddeb24fe8f93e56860b3765043f8b1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2026-08-20T19:36:22Z</dcterms:created>
  <dc:creator>Document System</dc:creator>
  <dc:description>Консервативный сценарий; целевая маржа 24%</dc:description>
  <cp:keywords>операции KPI dashboard</cp:keywords>
  <dc:language>en-US</dc:language>
  <cp:lastModifiedBy/>
  <dcterms:modified xsi:type="dcterms:W3CDTF">2026-08-20T19:36:22Z</dcterms:modified>
  <cp:revision>0</cp:revision>
  <dc:subject>Показатели и сценарные параметры</dc:subject>
  <dc:title>Операционная панель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